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 vs Treatment" sheetId="1" state="visible" r:id="rId3"/>
    <sheet name="Segment Analysis" sheetId="2" state="visible" r:id="rId4"/>
    <sheet name="Hypothesis Te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<sst xmlns="http://schemas.openxmlformats.org/spreadsheetml/2006/main" count="74" uniqueCount="54">
  <si>
    <t xml:space="preserve">Metric</t>
  </si>
  <si>
    <t xml:space="preserve">Control</t>
  </si>
  <si>
    <t xml:space="preserve">Treatment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</si>
  <si>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</si>
  <si>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</si>
  <si>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</si>
  <si>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</si>
  <si>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</t>
  </si>
  <si>
    <t xml:space="preserve">Average revenue per user</t>
  </si>
  <si>
    <t xml:space="preserve">Average revenue per converted user</t>
  </si>
  <si>
    <t xml:space="preserve">Refund rate</t>
  </si>
  <si>
    <t xml:space="preserve">Support ticket rate</t>
  </si>
  <si>
    <t xml:space="preserve">Average engagement score</t>
  </si>
  <si>
    <t xml:space="preserve">Average days to convert (converted users only)</t>
  </si>
  <si>
    <t xml:space="preserve">Paid conversion rate by Region</t>
  </si>
  <si>
    <t xml:space="preserve">region</t>
  </si>
  <si>
    <t xml:space="preserve">Lift (pp)</t>
  </si>
  <si>
    <t xml:space="preserve">East</t>
  </si>
  <si>
    <t xml:space="preserve">North</t>
  </si>
  <si>
    <t xml:space="preserve">South</t>
  </si>
  <si>
    <t xml:space="preserve">West</t>
  </si>
  <si>
    <t xml:space="preserve">Trial start rate by Device Type</t>
  </si>
  <si>
    <t xml:space="preserve">device_type</t>
  </si>
  <si>
    <t xml:space="preserve">Desktop</t>
  </si>
  <si>
    <t xml:space="preserve">Mobile</t>
  </si>
  <si>
    <t xml:space="preserve">Tablet</t>
  </si>
  <si>
    <t xml:space="preserve">Unknown</t>
  </si>
  <si>
    <t xml:space="preserve">Paid conversion rate by Traffic Source</t>
  </si>
  <si>
    <t xml:space="preserve">traffic_source</t>
  </si>
  <si>
    <t xml:space="preserve">Email</t>
  </si>
  <si>
    <t xml:space="preserve">Organic</t>
  </si>
  <si>
    <t xml:space="preserve">Paid Search</t>
  </si>
  <si>
    <t xml:space="preserve">Referral</t>
  </si>
  <si>
    <t xml:space="preserve">Social</t>
  </si>
  <si>
    <t xml:space="preserve">Onboarding completion rate by Plan Type</t>
  </si>
  <si>
    <t xml:space="preserve">plan_type</t>
  </si>
  <si>
    <t xml:space="preserve">Basic</t>
  </si>
  <si>
    <t xml:space="preserve">Free</t>
  </si>
  <si>
    <t xml:space="preserve">Premium</t>
  </si>
  <si>
    <t xml:space="preserve">experiment_group</t>
  </si>
  <si>
    <t xml:space="preserve">Sum of converted_to_paid</t>
  </si>
  <si>
    <t xml:space="preserve">User Count</t>
  </si>
  <si>
    <t xml:space="preserve">Total Result</t>
  </si>
  <si>
    <t xml:space="preserve">Control Conversion Rate:</t>
  </si>
  <si>
    <t xml:space="preserve">Treatment Conversion Rate:</t>
  </si>
  <si>
    <t xml:space="preserve">Users</t>
  </si>
  <si>
    <t xml:space="preserve">Conversions</t>
  </si>
  <si>
    <t xml:space="preserve">Conversion Rate</t>
  </si>
  <si>
    <t xml:space="preserve">Pooled Conversion Rate</t>
  </si>
  <si>
    <t xml:space="preserve">Standard Error</t>
  </si>
  <si>
    <t xml:space="preserve">Z-Statistic</t>
  </si>
  <si>
    <t xml:space="preserve">P-Value</t>
  </si>
  <si>
    <t xml:space="preserve">α = 0.05</t>
  </si>
  <si>
    <t xml:space="preserve">0.0006 &lt; 0.05, p&lt;α, so Reject H0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</si>
</sst>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"/>
    <numFmt numFmtId="167" formatCode="0.000"/>
    <numFmt numFmtId="168" formatCode="0%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2F5496"/>
      <name val="Cambria"/>
      <family val="0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Value" xfId="20"/>
    <cellStyle name="Pivot Table Result" xfId="21"/>
    <cellStyle name="Pivot Table Field" xfId="22"/>
    <cellStyle name="Pivot Table Category" xfId="23"/>
    <cellStyle name="Pivot Table Title" xfId="24"/>
    <cellStyle name="Pivot Table Corner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693</v>
      </c>
      <c r="C2" s="3" t="n">
        <v>715</v>
      </c>
    </row>
    <row r="3" customFormat="false" ht="15" hidden="false" customHeight="false" outlineLevel="0" collapsed="false">
      <c r="A3" s="2" t="s">
        <v>4</v>
      </c>
      <c r="B3" s="4" t="n">
        <f aca="false">441/693</f>
        <v>0.636363636363636</v>
      </c>
      <c r="C3" s="4" t="n">
        <f aca="false">519/715</f>
        <v>0.725874125874126</v>
      </c>
    </row>
    <row r="4" customFormat="false" ht="15" hidden="false" customHeight="false" outlineLevel="0" collapsed="false">
      <c r="A4" s="2" t="s">
        <v>5</v>
      </c>
      <c r="B4" s="4" t="n">
        <f aca="false">174/693</f>
        <v>0.251082251082251</v>
      </c>
      <c r="C4" s="4" t="n">
        <f aca="false">208/715</f>
        <v>0.290909090909091</v>
      </c>
    </row>
    <row r="5" customFormat="false" ht="15" hidden="false" customHeight="false" outlineLevel="0" collapsed="false">
      <c r="A5" s="2" t="s">
        <v>6</v>
      </c>
      <c r="B5" s="4" t="n">
        <f aca="false">108/693</f>
        <v>0.155844155844156</v>
      </c>
      <c r="C5" s="4" t="n">
        <f aca="false">152/715</f>
        <v>0.212587412587413</v>
      </c>
    </row>
    <row r="6" customFormat="false" ht="15" hidden="false" customHeight="false" outlineLevel="0" collapsed="false">
      <c r="A6" s="2" t="s">
        <v>7</v>
      </c>
      <c r="B6" s="4" t="n">
        <f aca="false">22/693</f>
        <v>0.0317460317460317</v>
      </c>
      <c r="C6" s="4" t="n">
        <f aca="false">50/715</f>
        <v>0.0699300699300699</v>
      </c>
    </row>
    <row r="7" customFormat="false" ht="15" hidden="false" customHeight="false" outlineLevel="0" collapsed="false">
      <c r="A7" s="2" t="s">
        <v>8</v>
      </c>
      <c r="B7" s="5" t="n">
        <f aca="false">35862.28/693</f>
        <v>51.7493217893218</v>
      </c>
      <c r="C7" s="5" t="n">
        <f aca="false">38520.71/715</f>
        <v>53.8751188811189</v>
      </c>
    </row>
    <row r="8" customFormat="false" ht="15" hidden="false" customHeight="false" outlineLevel="0" collapsed="false">
      <c r="A8" s="2" t="s">
        <v>9</v>
      </c>
      <c r="B8" s="5" t="n">
        <f aca="false">35862.28/22</f>
        <v>1630.10363636364</v>
      </c>
      <c r="C8" s="5" t="n">
        <f aca="false">38520.71/50</f>
        <v>770.4142</v>
      </c>
    </row>
    <row r="9" customFormat="false" ht="15" hidden="false" customHeight="false" outlineLevel="0" collapsed="false">
      <c r="A9" s="2" t="s">
        <v>10</v>
      </c>
      <c r="B9" s="4" t="n">
        <f aca="false">0/693</f>
        <v>0</v>
      </c>
      <c r="C9" s="4" t="n">
        <f aca="false">3/715</f>
        <v>0.0041958041958042</v>
      </c>
    </row>
    <row r="10" customFormat="false" ht="15" hidden="false" customHeight="false" outlineLevel="0" collapsed="false">
      <c r="A10" s="2" t="s">
        <v>11</v>
      </c>
      <c r="B10" s="4" t="n">
        <f aca="false">102/693</f>
        <v>0.147186147186147</v>
      </c>
      <c r="C10" s="4" t="n">
        <f aca="false">177/715</f>
        <v>0.247552447552448</v>
      </c>
    </row>
    <row r="11" customFormat="false" ht="15" hidden="false" customHeight="false" outlineLevel="0" collapsed="false">
      <c r="A11" s="2" t="s">
        <v>12</v>
      </c>
      <c r="B11" s="3" t="n">
        <v>57.03</v>
      </c>
      <c r="C11" s="3" t="n">
        <v>62.93</v>
      </c>
    </row>
    <row r="12" customFormat="false" ht="15" hidden="false" customHeight="false" outlineLevel="0" collapsed="false">
      <c r="A12" s="2" t="s">
        <v>13</v>
      </c>
      <c r="B12" s="3" t="n">
        <v>8.86</v>
      </c>
      <c r="C12" s="5" t="n">
        <v>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G22" activeCellId="0" sqref="G2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6" t="s">
        <v>14</v>
      </c>
    </row>
    <row r="2" customFormat="false" ht="15" hidden="false" customHeight="false" outlineLevel="0" collapsed="false">
      <c r="A2" s="1" t="s">
        <v>15</v>
      </c>
      <c r="B2" s="1" t="s">
        <v>1</v>
      </c>
      <c r="C2" s="1" t="s">
        <v>2</v>
      </c>
      <c r="D2" s="1" t="s">
        <v>16</v>
      </c>
    </row>
    <row r="3" customFormat="false" ht="15" hidden="false" customHeight="false" outlineLevel="0" collapsed="false">
      <c r="A3" s="2" t="s">
        <v>17</v>
      </c>
      <c r="B3" s="2" t="n">
        <v>0.0255</v>
      </c>
      <c r="C3" s="2" t="n">
        <v>0.0647</v>
      </c>
      <c r="D3" s="2" t="n">
        <v>3.92</v>
      </c>
    </row>
    <row r="4" customFormat="false" ht="15" hidden="false" customHeight="false" outlineLevel="0" collapsed="false">
      <c r="A4" s="2" t="s">
        <v>18</v>
      </c>
      <c r="B4" s="2" t="n">
        <v>0.0348</v>
      </c>
      <c r="C4" s="2" t="n">
        <v>0.0889</v>
      </c>
      <c r="D4" s="2" t="n">
        <v>5.41</v>
      </c>
    </row>
    <row r="5" customFormat="false" ht="15" hidden="false" customHeight="false" outlineLevel="0" collapsed="false">
      <c r="A5" s="2" t="s">
        <v>19</v>
      </c>
      <c r="B5" s="2" t="n">
        <v>0.0326</v>
      </c>
      <c r="C5" s="2" t="n">
        <v>0.0765</v>
      </c>
      <c r="D5" s="2" t="n">
        <v>4.39</v>
      </c>
    </row>
    <row r="6" customFormat="false" ht="15" hidden="false" customHeight="false" outlineLevel="0" collapsed="false">
      <c r="A6" s="2" t="s">
        <v>20</v>
      </c>
      <c r="B6" s="2" t="n">
        <v>0.0338</v>
      </c>
      <c r="C6" s="2" t="n">
        <v>0.0508</v>
      </c>
      <c r="D6" s="2" t="n">
        <v>1.71</v>
      </c>
    </row>
    <row r="8" customFormat="false" ht="15" hidden="false" customHeight="false" outlineLevel="0" collapsed="false">
      <c r="A8" s="6" t="s">
        <v>21</v>
      </c>
    </row>
    <row r="9" customFormat="false" ht="15" hidden="false" customHeight="false" outlineLevel="0" collapsed="false">
      <c r="A9" s="1" t="s">
        <v>22</v>
      </c>
      <c r="B9" s="1" t="s">
        <v>1</v>
      </c>
      <c r="C9" s="1" t="s">
        <v>2</v>
      </c>
      <c r="D9" s="1" t="s">
        <v>16</v>
      </c>
    </row>
    <row r="10" customFormat="false" ht="15" hidden="false" customHeight="false" outlineLevel="0" collapsed="false">
      <c r="A10" s="2" t="s">
        <v>23</v>
      </c>
      <c r="B10" s="2" t="n">
        <v>0.045</v>
      </c>
      <c r="C10" s="7" t="n">
        <v>0.06542056</v>
      </c>
      <c r="D10" s="8" t="n">
        <v>5.56</v>
      </c>
      <c r="F10" s="9"/>
    </row>
    <row r="11" customFormat="false" ht="15" hidden="false" customHeight="false" outlineLevel="0" collapsed="false">
      <c r="A11" s="2" t="s">
        <v>24</v>
      </c>
      <c r="B11" s="7" t="n">
        <v>0.0244</v>
      </c>
      <c r="C11" s="7" t="n">
        <v>0.0734</v>
      </c>
      <c r="D11" s="2" t="n">
        <f aca="false">(C11-B11)*100</f>
        <v>4.9</v>
      </c>
    </row>
    <row r="12" customFormat="false" ht="15" hidden="false" customHeight="false" outlineLevel="0" collapsed="false">
      <c r="A12" s="2" t="s">
        <v>25</v>
      </c>
      <c r="B12" s="7" t="n">
        <v>0.017857</v>
      </c>
      <c r="C12" s="2" t="n">
        <v>0.071428</v>
      </c>
      <c r="D12" s="2" t="n">
        <f aca="false">(C12-B12)*100</f>
        <v>5.3571</v>
      </c>
    </row>
    <row r="13" customFormat="false" ht="15" hidden="false" customHeight="false" outlineLevel="0" collapsed="false">
      <c r="A13" s="2" t="s">
        <v>26</v>
      </c>
      <c r="B13" s="2" t="n">
        <v>0.01111</v>
      </c>
      <c r="C13" s="2" t="n">
        <v>0.11111</v>
      </c>
      <c r="D13" s="2" t="n">
        <v>5.11</v>
      </c>
    </row>
    <row r="15" customFormat="false" ht="15" hidden="false" customHeight="false" outlineLevel="0" collapsed="false">
      <c r="A15" s="6" t="s">
        <v>27</v>
      </c>
    </row>
    <row r="16" customFormat="false" ht="15" hidden="false" customHeight="false" outlineLevel="0" collapsed="false">
      <c r="A16" s="1" t="s">
        <v>28</v>
      </c>
      <c r="B16" s="1" t="s">
        <v>1</v>
      </c>
      <c r="C16" s="1" t="s">
        <v>2</v>
      </c>
      <c r="D16" s="1" t="s">
        <v>16</v>
      </c>
    </row>
    <row r="17" customFormat="false" ht="15" hidden="false" customHeight="false" outlineLevel="0" collapsed="false">
      <c r="A17" s="2" t="s">
        <v>29</v>
      </c>
      <c r="B17" s="2" t="n">
        <v>0.0274</v>
      </c>
      <c r="C17" s="2" t="n">
        <v>0.0714</v>
      </c>
      <c r="D17" s="10" t="n">
        <v>0.0461538461538462</v>
      </c>
    </row>
    <row r="18" customFormat="false" ht="15" hidden="false" customHeight="false" outlineLevel="0" collapsed="false">
      <c r="A18" s="2" t="s">
        <v>30</v>
      </c>
      <c r="B18" s="2" t="n">
        <v>0.0203</v>
      </c>
      <c r="C18" s="2" t="n">
        <v>0.0633</v>
      </c>
      <c r="D18" s="10" t="n">
        <v>0.0410677618069815</v>
      </c>
      <c r="F18" s="11"/>
    </row>
    <row r="19" customFormat="false" ht="15" hidden="false" customHeight="false" outlineLevel="0" collapsed="false">
      <c r="A19" s="2" t="s">
        <v>31</v>
      </c>
      <c r="B19" s="0" t="n">
        <v>0.0128</v>
      </c>
      <c r="C19" s="0" t="n">
        <v>0.0625</v>
      </c>
      <c r="D19" s="10" t="n">
        <v>0.0391566265060241</v>
      </c>
    </row>
    <row r="20" customFormat="false" ht="15" hidden="false" customHeight="false" outlineLevel="0" collapsed="false">
      <c r="A20" s="2" t="s">
        <v>32</v>
      </c>
      <c r="B20" s="0" t="n">
        <v>0.0246</v>
      </c>
      <c r="C20" s="0" t="n">
        <v>0.1098</v>
      </c>
      <c r="D20" s="10" t="n">
        <v>0.0697674418604651</v>
      </c>
    </row>
    <row r="21" customFormat="false" ht="15" hidden="false" customHeight="false" outlineLevel="0" collapsed="false">
      <c r="A21" s="2" t="s">
        <v>33</v>
      </c>
      <c r="B21" s="0" t="n">
        <v>0.0769</v>
      </c>
      <c r="C21" s="12" t="n">
        <v>0.0601</v>
      </c>
      <c r="D21" s="10" t="n">
        <v>0.0684410646387833</v>
      </c>
    </row>
    <row r="22" customFormat="false" ht="15" hidden="false" customHeight="false" outlineLevel="0" collapsed="false">
      <c r="A22" s="2" t="s">
        <v>26</v>
      </c>
      <c r="B22" s="0" t="n">
        <v>0.1666</v>
      </c>
      <c r="C22" s="0" t="n">
        <v>0.1111</v>
      </c>
      <c r="D22" s="10" t="n">
        <v>0.125</v>
      </c>
    </row>
    <row r="24" customFormat="false" ht="15" hidden="false" customHeight="false" outlineLevel="0" collapsed="false">
      <c r="A24" s="6" t="s">
        <v>34</v>
      </c>
    </row>
    <row r="25" customFormat="false" ht="15" hidden="false" customHeight="false" outlineLevel="0" collapsed="false">
      <c r="A25" s="1" t="s">
        <v>35</v>
      </c>
      <c r="B25" s="1" t="s">
        <v>1</v>
      </c>
      <c r="C25" s="1" t="s">
        <v>2</v>
      </c>
      <c r="D25" s="1" t="s">
        <v>16</v>
      </c>
    </row>
    <row r="26" customFormat="false" ht="15" hidden="false" customHeight="false" outlineLevel="0" collapsed="false">
      <c r="A26" s="2" t="s">
        <v>36</v>
      </c>
      <c r="B26" s="2" t="n">
        <v>0.1403</v>
      </c>
      <c r="C26" s="2" t="n">
        <v>0.1897</v>
      </c>
      <c r="D26" s="2" t="n">
        <v>4.94</v>
      </c>
    </row>
    <row r="27" customFormat="false" ht="15" hidden="false" customHeight="false" outlineLevel="0" collapsed="false">
      <c r="A27" s="2" t="s">
        <v>37</v>
      </c>
      <c r="B27" s="2" t="n">
        <v>0.1556</v>
      </c>
      <c r="C27" s="2" t="n">
        <v>0.235</v>
      </c>
      <c r="D27" s="2" t="n">
        <v>7.94</v>
      </c>
    </row>
    <row r="28" customFormat="false" ht="15" hidden="false" customHeight="false" outlineLevel="0" collapsed="false">
      <c r="A28" s="2" t="s">
        <v>38</v>
      </c>
      <c r="B28" s="2" t="n">
        <v>0.1927</v>
      </c>
      <c r="C28" s="2" t="n">
        <v>0.1786</v>
      </c>
      <c r="D28" s="2" t="n">
        <v>-1.41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13" width="23.27"/>
    <col collapsed="false" customWidth="true" hidden="false" outlineLevel="0" max="3" min="3" style="13" width="13"/>
    <col collapsed="false" customWidth="true" hidden="false" outlineLevel="0" max="6" min="4" style="0" width="8.54"/>
  </cols>
  <sheetData>
    <row r="1" customFormat="false" ht="24.05" hidden="false" customHeight="false" outlineLevel="0" collapsed="false">
      <c r="A1" s="14" t="s">
        <v>39</v>
      </c>
      <c r="B1" s="15" t="s">
        <v>40</v>
      </c>
      <c r="D1" s="16" t="s">
        <v>0</v>
      </c>
      <c r="E1" s="16" t="s">
        <v>1</v>
      </c>
      <c r="F1" s="16" t="s">
        <v>2</v>
      </c>
    </row>
    <row r="2" customFormat="false" ht="24.05" hidden="false" customHeight="false" outlineLevel="0" collapsed="false">
      <c r="A2" s="17" t="s">
        <v>1</v>
      </c>
      <c r="B2" s="18" t="n">
        <v>22</v>
      </c>
      <c r="D2" s="19" t="s">
        <v>41</v>
      </c>
      <c r="E2" s="19" t="n">
        <v>693</v>
      </c>
      <c r="F2" s="19" t="n">
        <v>715</v>
      </c>
    </row>
    <row r="3" customFormat="false" ht="13.8" hidden="false" customHeight="false" outlineLevel="0" collapsed="false">
      <c r="A3" s="17" t="s">
        <v>2</v>
      </c>
      <c r="B3" s="18" t="n">
        <v>50</v>
      </c>
    </row>
    <row r="4" customFormat="false" ht="13.8" hidden="false" customHeight="false" outlineLevel="0" collapsed="false">
      <c r="A4" s="20" t="s">
        <v>42</v>
      </c>
      <c r="B4" s="21" t="n">
        <v>72</v>
      </c>
    </row>
    <row r="5" customFormat="false" ht="13.8" hidden="false" customHeight="false" outlineLevel="0" collapsed="false">
      <c r="A5" s="22"/>
      <c r="B5" s="23"/>
    </row>
    <row r="6" customFormat="false" ht="13.8" hidden="false" customHeight="false" outlineLevel="0" collapsed="false">
      <c r="A6" s="22" t="s">
        <v>43</v>
      </c>
      <c r="B6" s="24" t="n">
        <v>0.0317</v>
      </c>
    </row>
    <row r="7" customFormat="false" ht="13.8" hidden="false" customHeight="false" outlineLevel="0" collapsed="false">
      <c r="A7" s="22" t="s">
        <v>44</v>
      </c>
      <c r="B7" s="24" t="n">
        <v>0.0699</v>
      </c>
    </row>
    <row r="10" customFormat="false" ht="13.8" hidden="false" customHeight="false" outlineLevel="0" collapsed="false">
      <c r="A10" s="16" t="s">
        <v>0</v>
      </c>
      <c r="B10" s="16" t="s">
        <v>1</v>
      </c>
      <c r="C10" s="16" t="s">
        <v>2</v>
      </c>
    </row>
    <row r="11" customFormat="false" ht="13.8" hidden="false" customHeight="false" outlineLevel="0" collapsed="false">
      <c r="A11" s="19" t="s">
        <v>45</v>
      </c>
      <c r="B11" s="25" t="n">
        <v>693</v>
      </c>
      <c r="C11" s="25" t="n">
        <v>715</v>
      </c>
    </row>
    <row r="12" customFormat="false" ht="13.8" hidden="false" customHeight="false" outlineLevel="0" collapsed="false">
      <c r="A12" s="19" t="s">
        <v>46</v>
      </c>
      <c r="B12" s="25" t="n">
        <v>22</v>
      </c>
      <c r="C12" s="25" t="n">
        <v>50</v>
      </c>
    </row>
    <row r="13" customFormat="false" ht="13.8" hidden="false" customHeight="false" outlineLevel="0" collapsed="false">
      <c r="A13" s="19" t="s">
        <v>47</v>
      </c>
      <c r="B13" s="26" t="n">
        <v>0.0317</v>
      </c>
      <c r="C13" s="26" t="n">
        <v>0.0699</v>
      </c>
    </row>
    <row r="16" customFormat="false" ht="13.8" hidden="false" customHeight="false" outlineLevel="0" collapsed="false">
      <c r="A16" s="22" t="s">
        <v>48</v>
      </c>
      <c r="B16" s="27" t="n">
        <f aca="false">(22+50)/(693+715)</f>
        <v>0.0511363636363636</v>
      </c>
    </row>
    <row r="17" customFormat="false" ht="13.8" hidden="false" customHeight="false" outlineLevel="0" collapsed="false">
      <c r="A17" s="22" t="s">
        <v>49</v>
      </c>
      <c r="B17" s="23" t="n">
        <f aca="false">SQRT((0.051136*(1-0.051136))*((1/693)+(1/715)))</f>
        <v>0.0117421345012008</v>
      </c>
    </row>
    <row r="18" customFormat="false" ht="13.8" hidden="false" customHeight="false" outlineLevel="0" collapsed="false">
      <c r="A18" s="22" t="s">
        <v>50</v>
      </c>
      <c r="B18" s="23" t="n">
        <f aca="false">(0.06993-0.031746)/0.01174</f>
        <v>3.25247018739353</v>
      </c>
    </row>
    <row r="19" customFormat="false" ht="13.8" hidden="false" customHeight="false" outlineLevel="0" collapsed="false">
      <c r="A19" s="22" t="s">
        <v>51</v>
      </c>
      <c r="B19" s="23" t="n">
        <f aca="false">1-_xlfn.NORM.S.DIST(3.25,TRUE())</f>
        <v>0.000577025042390766</v>
      </c>
    </row>
    <row r="20" customFormat="false" ht="13.8" hidden="false" customHeight="false" outlineLevel="0" collapsed="false">
      <c r="A20" s="22" t="s">
        <v>52</v>
      </c>
      <c r="B20" s="23"/>
    </row>
    <row r="21" customFormat="false" ht="13.8" hidden="false" customHeight="false" outlineLevel="0" collapsed="false">
      <c r="A21" s="22" t="s">
        <v>53</v>
      </c>
      <c r="B21" s="2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2026-06-30T18:26:03Z</dcterms:created>
  <dc:creator>openpyxl</dc:creator>
  <dc:description/>
  <dc:language>en-US</dc:language>
  <cp:lastModifiedBy/>
  <dcterms:modified xsi:type="dcterms:W3CDTF">2026-07-01T18:59:55Z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